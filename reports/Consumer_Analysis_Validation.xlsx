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have\Documents\Consumer_Analysis_Portfolio\reports\"/>
    </mc:Choice>
  </mc:AlternateContent>
  <xr:revisionPtr revIDLastSave="0" documentId="13_ncr:1_{0DB8C0A0-B560-4193-A945-A0E60FED79D6}" xr6:coauthVersionLast="47" xr6:coauthVersionMax="47" xr10:uidLastSave="{00000000-0000-0000-0000-000000000000}"/>
  <bookViews>
    <workbookView xWindow="-110" yWindow="-110" windowWidth="19420" windowHeight="10300" firstSheet="1" activeTab="4" xr2:uid="{00000000-000D-0000-FFFF-FFFF00000000}"/>
  </bookViews>
  <sheets>
    <sheet name="Summary Dashboard" sheetId="1" r:id="rId1"/>
    <sheet name="Predictions vs Actuals" sheetId="2" r:id="rId2"/>
    <sheet name="Model Coefficients" sheetId="3" r:id="rId3"/>
    <sheet name="Scenario Analysis" sheetId="4" r:id="rId4"/>
    <sheet name="Validation Check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2" l="1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3" i="2"/>
  <c r="F2" i="2"/>
  <c r="B106" i="2"/>
  <c r="B104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B105" i="2" s="1"/>
</calcChain>
</file>

<file path=xl/sharedStrings.xml><?xml version="1.0" encoding="utf-8"?>
<sst xmlns="http://schemas.openxmlformats.org/spreadsheetml/2006/main" count="271" uniqueCount="82">
  <si>
    <t>Consumer Analysis &amp; Forecasting - Validation Report</t>
  </si>
  <si>
    <t>MODEL PERFORMANCE METRICS</t>
  </si>
  <si>
    <t>R2_Train</t>
  </si>
  <si>
    <t>R2_Test</t>
  </si>
  <si>
    <t>RMSE_Train</t>
  </si>
  <si>
    <t>RMSE_Test</t>
  </si>
  <si>
    <t>MAE_Train</t>
  </si>
  <si>
    <t>MAE_Test</t>
  </si>
  <si>
    <t>KEY FINDINGS</t>
  </si>
  <si>
    <t>• Model explains 38.5% of demand variance</t>
  </si>
  <si>
    <t>• Average prediction error: 269 units</t>
  </si>
  <si>
    <t>• Total records analyzed: 525</t>
  </si>
  <si>
    <t>• Top 3 demand drivers identified</t>
  </si>
  <si>
    <t>Date</t>
  </si>
  <si>
    <t>Product</t>
  </si>
  <si>
    <t>Actual Demand</t>
  </si>
  <si>
    <t>Predicted Demand</t>
  </si>
  <si>
    <t>Error</t>
  </si>
  <si>
    <t>Error %</t>
  </si>
  <si>
    <t>2024-01-01</t>
  </si>
  <si>
    <t>Product_A</t>
  </si>
  <si>
    <t>Product_B</t>
  </si>
  <si>
    <t>Product_C</t>
  </si>
  <si>
    <t>Product_D</t>
  </si>
  <si>
    <t>Product_E</t>
  </si>
  <si>
    <t>2024-01-08</t>
  </si>
  <si>
    <t>2024-01-15</t>
  </si>
  <si>
    <t>2024-01-22</t>
  </si>
  <si>
    <t>2024-01-29</t>
  </si>
  <si>
    <t>2024-02-05</t>
  </si>
  <si>
    <t>2024-02-12</t>
  </si>
  <si>
    <t>2024-02-19</t>
  </si>
  <si>
    <t>2024-02-26</t>
  </si>
  <si>
    <t>2024-03-04</t>
  </si>
  <si>
    <t>2024-03-11</t>
  </si>
  <si>
    <t>2024-03-18</t>
  </si>
  <si>
    <t>2024-03-25</t>
  </si>
  <si>
    <t>2024-04-01</t>
  </si>
  <si>
    <t>2024-04-08</t>
  </si>
  <si>
    <t>2024-04-15</t>
  </si>
  <si>
    <t>2024-04-22</t>
  </si>
  <si>
    <t>2024-04-29</t>
  </si>
  <si>
    <t>2024-05-06</t>
  </si>
  <si>
    <t>2024-05-13</t>
  </si>
  <si>
    <t>VALIDATION CHECKS</t>
  </si>
  <si>
    <t>Mean Absolute Error:</t>
  </si>
  <si>
    <t>RMSE:</t>
  </si>
  <si>
    <t>Mean Error %:</t>
  </si>
  <si>
    <t>Feature</t>
  </si>
  <si>
    <t>Coefficient</t>
  </si>
  <si>
    <t>Impact</t>
  </si>
  <si>
    <t>price</t>
  </si>
  <si>
    <t>↓ Decreases Demand</t>
  </si>
  <si>
    <t>competitor_price</t>
  </si>
  <si>
    <t>price_difference_pct</t>
  </si>
  <si>
    <t>↑ Increases Demand</t>
  </si>
  <si>
    <t>marketing_spend</t>
  </si>
  <si>
    <t>consumer_confidence_index</t>
  </si>
  <si>
    <t>unemployment_rate</t>
  </si>
  <si>
    <t>is_promotion</t>
  </si>
  <si>
    <t>seasonal_factor</t>
  </si>
  <si>
    <t>trend_factor</t>
  </si>
  <si>
    <t>Intercept</t>
  </si>
  <si>
    <t>Scenario</t>
  </si>
  <si>
    <t>Impact vs Baseline</t>
  </si>
  <si>
    <t>Baseline</t>
  </si>
  <si>
    <t>10% Price Cut</t>
  </si>
  <si>
    <t>20% Marketing Increase</t>
  </si>
  <si>
    <t>Promotion Active</t>
  </si>
  <si>
    <t>DATA QUALITY &amp; VALIDATION CHECKS</t>
  </si>
  <si>
    <t>Check</t>
  </si>
  <si>
    <t>Result</t>
  </si>
  <si>
    <t>Status</t>
  </si>
  <si>
    <t>Missing Values</t>
  </si>
  <si>
    <t>PASS</t>
  </si>
  <si>
    <t>Negative Demand Values</t>
  </si>
  <si>
    <t>Duplicate Records</t>
  </si>
  <si>
    <t>Date Range Coverage</t>
  </si>
  <si>
    <t>2024-01-01 to 2025-12-29</t>
  </si>
  <si>
    <t>Total Records</t>
  </si>
  <si>
    <t>Model R² &gt; 0.3</t>
  </si>
  <si>
    <t>Created: February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</si>
</sst>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0"/>
  </numFmts>
  <fonts count="11" x14ac:knownFonts="1">
    <font>
      <sz val="11"/>
      <color theme="1"/>
      <name val="Calibri"/>
      <family val="2"/>
      <scheme val="minor"/>
    </font>
    <font>
      <b/>
      <sz val="16"/>
      <color rgb="FF1F4E78"/>
      <name val="Calibri"/>
    </font>
    <font>
      <i/>
      <sz val="10"/>
      <name val="Calibri"/>
    </font>
    <font>
      <b/>
      <sz val="14"/>
      <color rgb="FF1F4E78"/>
      <name val="Calibri"/>
    </font>
    <font>
      <b/>
      <sz val="11"/>
      <name val="Calibri"/>
    </font>
    <font>
      <sz val="11"/>
      <name val="Calibri"/>
    </font>
    <font>
      <b/>
      <sz val="12"/>
      <color rgb="FFFFFFFF"/>
      <name val="Calibri"/>
    </font>
    <font>
      <i/>
      <sz val="11"/>
      <color rgb="FF808080"/>
      <name val="Calibri"/>
    </font>
    <font>
      <b/>
      <sz val="14"/>
      <name val="Calibri"/>
    </font>
    <font>
      <b/>
      <sz val="11"/>
      <color rgb="FF006100"/>
      <name val="Calibri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C6EFCE"/>
        <bgColor rgb="FFC6EF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164" fontId="0" fillId="0" borderId="0" xfId="0" applyNumberFormat="1"/>
    <xf numFmtId="0" fontId="5" fillId="0" borderId="0" xfId="0" applyFont="1"/>
    <xf numFmtId="0" fontId="6" fillId="2" borderId="0" xfId="0" applyFont="1" applyFill="1" applyAlignment="1">
      <alignment horizontal="center"/>
    </xf>
    <xf numFmtId="2" fontId="0" fillId="0" borderId="0" xfId="0" applyNumberFormat="1"/>
    <xf numFmtId="10" fontId="0" fillId="0" borderId="0" xfId="0" applyNumberFormat="1"/>
    <xf numFmtId="0" fontId="6" fillId="2" borderId="0" xfId="0" applyFont="1" applyFill="1"/>
    <xf numFmtId="0" fontId="7" fillId="0" borderId="0" xfId="0" applyFont="1"/>
    <xf numFmtId="0" fontId="9" fillId="3" borderId="0" xfId="0" applyFont="1" applyFill="1"/>
    <xf numFmtId="10" fontId="0" fillId="0" borderId="0" xfId="2" applyNumberFormat="1" applyFont="1"/>
    <xf numFmtId="0" fontId="0" fillId="0" borderId="0" xfId="1" applyNumberFormat="1" applyFont="1"/>
    <xf numFmtId="0" fontId="1" fillId="0" borderId="0" xfId="0" applyFont="1"/>
    <xf numFmtId="0" fontId="0" fillId="0" borderId="0" xfId="0"/>
    <xf numFmtId="0" fontId="8" fillId="0" borderId="0" xfId="0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opLeftCell="A2" workbookViewId="0">
      <selection activeCell="E14" sqref="E14"/>
    </sheetView>
  </sheetViews>
  <sheetFormatPr defaultRowHeight="14.5" x14ac:dyDescent="0.35"/>
  <cols>
    <col min="1" max="1" width="35" customWidth="1"/>
    <col min="2" max="2" width="15" customWidth="1"/>
  </cols>
  <sheetData>
    <row r="1" spans="1:6" ht="21" x14ac:dyDescent="0.5">
      <c r="A1" s="14" t="s">
        <v>0</v>
      </c>
      <c r="B1" s="15"/>
      <c r="C1" s="15"/>
      <c r="D1" s="15"/>
      <c r="E1" s="15"/>
      <c r="F1" s="15"/>
    </row>
    <row r="2" spans="1:6" x14ac:dyDescent="0.35">
      <c r="A2" s="1" t="s">
        <v>81</v>
      </c>
    </row>
    <row r="4" spans="1:6" ht="18.5" x14ac:dyDescent="0.45">
      <c r="A4" s="2" t="s">
        <v>1</v>
      </c>
    </row>
    <row r="5" spans="1:6" x14ac:dyDescent="0.35">
      <c r="A5" s="3" t="s">
        <v>2</v>
      </c>
      <c r="B5" s="4">
        <v>0.35482410405985332</v>
      </c>
    </row>
    <row r="6" spans="1:6" x14ac:dyDescent="0.35">
      <c r="A6" s="3" t="s">
        <v>3</v>
      </c>
      <c r="B6" s="4">
        <v>0.38516832433319032</v>
      </c>
    </row>
    <row r="7" spans="1:6" x14ac:dyDescent="0.35">
      <c r="A7" s="3" t="s">
        <v>4</v>
      </c>
      <c r="B7" s="4">
        <v>311.04145328722251</v>
      </c>
    </row>
    <row r="8" spans="1:6" x14ac:dyDescent="0.35">
      <c r="A8" s="3" t="s">
        <v>5</v>
      </c>
      <c r="B8" s="4">
        <v>322.38350044558268</v>
      </c>
    </row>
    <row r="9" spans="1:6" x14ac:dyDescent="0.35">
      <c r="A9" s="3" t="s">
        <v>6</v>
      </c>
      <c r="B9" s="4">
        <v>268.4464869453696</v>
      </c>
    </row>
    <row r="10" spans="1:6" x14ac:dyDescent="0.35">
      <c r="A10" s="3" t="s">
        <v>7</v>
      </c>
      <c r="B10" s="4">
        <v>270.60857434731543</v>
      </c>
    </row>
    <row r="12" spans="1:6" ht="18.5" x14ac:dyDescent="0.45">
      <c r="A12" s="2" t="s">
        <v>8</v>
      </c>
    </row>
    <row r="13" spans="1:6" x14ac:dyDescent="0.35">
      <c r="A13" s="5" t="s">
        <v>9</v>
      </c>
    </row>
    <row r="14" spans="1:6" x14ac:dyDescent="0.35">
      <c r="A14" s="5" t="s">
        <v>10</v>
      </c>
    </row>
    <row r="15" spans="1:6" x14ac:dyDescent="0.35">
      <c r="A15" s="5" t="s">
        <v>11</v>
      </c>
    </row>
    <row r="16" spans="1:6" x14ac:dyDescent="0.35">
      <c r="A16" s="5" t="s">
        <v>12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6"/>
  <sheetViews>
    <sheetView topLeftCell="A3" workbookViewId="0">
      <selection activeCell="H2" sqref="H2"/>
    </sheetView>
  </sheetViews>
  <sheetFormatPr defaultRowHeight="14.5" x14ac:dyDescent="0.35"/>
  <cols>
    <col min="1" max="6" width="16" customWidth="1"/>
  </cols>
  <sheetData>
    <row r="1" spans="1:6" ht="15.5" x14ac:dyDescent="0.35">
      <c r="A1" s="6" t="s">
        <v>13</v>
      </c>
      <c r="B1" s="6" t="s">
        <v>14</v>
      </c>
      <c r="C1" s="6" t="s">
        <v>15</v>
      </c>
      <c r="D1" s="6" t="s">
        <v>16</v>
      </c>
      <c r="E1" s="6" t="s">
        <v>17</v>
      </c>
      <c r="F1" s="6" t="s">
        <v>18</v>
      </c>
    </row>
    <row r="2" spans="1:6" x14ac:dyDescent="0.35">
      <c r="A2" t="s">
        <v>19</v>
      </c>
      <c r="B2" t="s">
        <v>20</v>
      </c>
      <c r="C2">
        <v>2348</v>
      </c>
      <c r="D2" s="7">
        <v>1661.9749304971281</v>
      </c>
      <c r="E2" s="7">
        <f t="shared" ref="E2:E33" si="0">D2-C2</f>
        <v>-686.02506950287193</v>
      </c>
      <c r="F2" s="12">
        <f>(D2-C2)/C2</f>
        <v>-0.29217422040156388</v>
      </c>
    </row>
    <row r="3" spans="1:6" x14ac:dyDescent="0.35">
      <c r="A3" t="s">
        <v>19</v>
      </c>
      <c r="B3" t="s">
        <v>21</v>
      </c>
      <c r="C3">
        <v>863</v>
      </c>
      <c r="D3" s="7">
        <v>1393.489376054074</v>
      </c>
      <c r="E3" s="7">
        <f t="shared" si="0"/>
        <v>530.489376054074</v>
      </c>
      <c r="F3" s="12">
        <f>(D3-C3)/C3</f>
        <v>0.61470379612291315</v>
      </c>
    </row>
    <row r="4" spans="1:6" x14ac:dyDescent="0.35">
      <c r="A4" t="s">
        <v>19</v>
      </c>
      <c r="B4" t="s">
        <v>22</v>
      </c>
      <c r="C4">
        <v>1544</v>
      </c>
      <c r="D4" s="7">
        <v>1339.807035431093</v>
      </c>
      <c r="E4" s="7">
        <f t="shared" si="0"/>
        <v>-204.19296456890697</v>
      </c>
      <c r="F4" s="12">
        <f t="shared" ref="F4:F67" si="1">(D4-C4)/C4</f>
        <v>-0.1322493293840071</v>
      </c>
    </row>
    <row r="5" spans="1:6" x14ac:dyDescent="0.35">
      <c r="A5" t="s">
        <v>19</v>
      </c>
      <c r="B5" t="s">
        <v>23</v>
      </c>
      <c r="C5">
        <v>917</v>
      </c>
      <c r="D5" s="7">
        <v>945.80212122699299</v>
      </c>
      <c r="E5" s="7">
        <f t="shared" si="0"/>
        <v>28.802121226992995</v>
      </c>
      <c r="F5" s="12">
        <f t="shared" si="1"/>
        <v>3.140907440239149E-2</v>
      </c>
    </row>
    <row r="6" spans="1:6" x14ac:dyDescent="0.35">
      <c r="A6" t="s">
        <v>19</v>
      </c>
      <c r="B6" t="s">
        <v>24</v>
      </c>
      <c r="C6">
        <v>1380</v>
      </c>
      <c r="D6" s="7">
        <v>1148.264754398504</v>
      </c>
      <c r="E6" s="7">
        <f t="shared" si="0"/>
        <v>-231.73524560149599</v>
      </c>
      <c r="F6" s="12">
        <f t="shared" si="1"/>
        <v>-0.16792409101557682</v>
      </c>
    </row>
    <row r="7" spans="1:6" x14ac:dyDescent="0.35">
      <c r="A7" t="s">
        <v>25</v>
      </c>
      <c r="B7" t="s">
        <v>20</v>
      </c>
      <c r="C7">
        <v>1594</v>
      </c>
      <c r="D7" s="7">
        <v>1312.8716346266399</v>
      </c>
      <c r="E7" s="7">
        <f t="shared" si="0"/>
        <v>-281.12836537336011</v>
      </c>
      <c r="F7" s="12">
        <f t="shared" si="1"/>
        <v>-0.17636660312005026</v>
      </c>
    </row>
    <row r="8" spans="1:6" x14ac:dyDescent="0.35">
      <c r="A8" t="s">
        <v>25</v>
      </c>
      <c r="B8" t="s">
        <v>21</v>
      </c>
      <c r="C8">
        <v>1239</v>
      </c>
      <c r="D8" s="7">
        <v>1867.9042270294581</v>
      </c>
      <c r="E8" s="7">
        <f t="shared" si="0"/>
        <v>628.90422702945807</v>
      </c>
      <c r="F8" s="12">
        <f t="shared" si="1"/>
        <v>0.50759017516501859</v>
      </c>
    </row>
    <row r="9" spans="1:6" x14ac:dyDescent="0.35">
      <c r="A9" t="s">
        <v>25</v>
      </c>
      <c r="B9" t="s">
        <v>22</v>
      </c>
      <c r="C9">
        <v>1775</v>
      </c>
      <c r="D9" s="7">
        <v>1323.828145372642</v>
      </c>
      <c r="E9" s="7">
        <f t="shared" si="0"/>
        <v>-451.17185462735802</v>
      </c>
      <c r="F9" s="12">
        <f t="shared" si="1"/>
        <v>-0.25418132655062425</v>
      </c>
    </row>
    <row r="10" spans="1:6" x14ac:dyDescent="0.35">
      <c r="A10" t="s">
        <v>25</v>
      </c>
      <c r="B10" t="s">
        <v>23</v>
      </c>
      <c r="C10">
        <v>902</v>
      </c>
      <c r="D10" s="7">
        <v>1285.8458669211041</v>
      </c>
      <c r="E10" s="7">
        <f t="shared" si="0"/>
        <v>383.84586692110406</v>
      </c>
      <c r="F10" s="12">
        <f t="shared" si="1"/>
        <v>0.42554974159767633</v>
      </c>
    </row>
    <row r="11" spans="1:6" x14ac:dyDescent="0.35">
      <c r="A11" t="s">
        <v>25</v>
      </c>
      <c r="B11" t="s">
        <v>24</v>
      </c>
      <c r="C11">
        <v>1493</v>
      </c>
      <c r="D11" s="7">
        <v>1180.6503756350669</v>
      </c>
      <c r="E11" s="7">
        <f t="shared" si="0"/>
        <v>-312.34962436493311</v>
      </c>
      <c r="F11" s="12">
        <f t="shared" si="1"/>
        <v>-0.2092093934125473</v>
      </c>
    </row>
    <row r="12" spans="1:6" x14ac:dyDescent="0.35">
      <c r="A12" t="s">
        <v>26</v>
      </c>
      <c r="B12" t="s">
        <v>20</v>
      </c>
      <c r="C12">
        <v>1406</v>
      </c>
      <c r="D12" s="7">
        <v>1251.73588732129</v>
      </c>
      <c r="E12" s="7">
        <f t="shared" si="0"/>
        <v>-154.26411267871003</v>
      </c>
      <c r="F12" s="12">
        <f t="shared" si="1"/>
        <v>-0.10971843007020628</v>
      </c>
    </row>
    <row r="13" spans="1:6" x14ac:dyDescent="0.35">
      <c r="A13" t="s">
        <v>26</v>
      </c>
      <c r="B13" t="s">
        <v>21</v>
      </c>
      <c r="C13">
        <v>1312</v>
      </c>
      <c r="D13" s="7">
        <v>1411.95328535251</v>
      </c>
      <c r="E13" s="7">
        <f t="shared" si="0"/>
        <v>99.953285352509965</v>
      </c>
      <c r="F13" s="12">
        <f t="shared" si="1"/>
        <v>7.6183906518681371E-2</v>
      </c>
    </row>
    <row r="14" spans="1:6" x14ac:dyDescent="0.35">
      <c r="A14" t="s">
        <v>26</v>
      </c>
      <c r="B14" t="s">
        <v>22</v>
      </c>
      <c r="C14">
        <v>1498</v>
      </c>
      <c r="D14" s="7">
        <v>1433.1155007569821</v>
      </c>
      <c r="E14" s="7">
        <f t="shared" si="0"/>
        <v>-64.884499243017899</v>
      </c>
      <c r="F14" s="12">
        <f t="shared" si="1"/>
        <v>-4.3314084941934512E-2</v>
      </c>
    </row>
    <row r="15" spans="1:6" x14ac:dyDescent="0.35">
      <c r="A15" t="s">
        <v>26</v>
      </c>
      <c r="B15" t="s">
        <v>23</v>
      </c>
      <c r="C15">
        <v>900</v>
      </c>
      <c r="D15" s="7">
        <v>1077.62080401714</v>
      </c>
      <c r="E15" s="7">
        <f t="shared" si="0"/>
        <v>177.62080401714002</v>
      </c>
      <c r="F15" s="12">
        <f t="shared" si="1"/>
        <v>0.19735644890793336</v>
      </c>
    </row>
    <row r="16" spans="1:6" x14ac:dyDescent="0.35">
      <c r="A16" t="s">
        <v>26</v>
      </c>
      <c r="B16" t="s">
        <v>24</v>
      </c>
      <c r="C16">
        <v>1260</v>
      </c>
      <c r="D16" s="7">
        <v>1047.3242988392799</v>
      </c>
      <c r="E16" s="7">
        <f t="shared" si="0"/>
        <v>-212.67570116072011</v>
      </c>
      <c r="F16" s="12">
        <f t="shared" si="1"/>
        <v>-0.16879023901644452</v>
      </c>
    </row>
    <row r="17" spans="1:6" x14ac:dyDescent="0.35">
      <c r="A17" t="s">
        <v>27</v>
      </c>
      <c r="B17" t="s">
        <v>20</v>
      </c>
      <c r="C17">
        <v>1335</v>
      </c>
      <c r="D17" s="7">
        <v>1258.6819187403701</v>
      </c>
      <c r="E17" s="7">
        <f t="shared" si="0"/>
        <v>-76.318081259629935</v>
      </c>
      <c r="F17" s="12">
        <f t="shared" si="1"/>
        <v>-5.7167102067138528E-2</v>
      </c>
    </row>
    <row r="18" spans="1:6" x14ac:dyDescent="0.35">
      <c r="A18" t="s">
        <v>27</v>
      </c>
      <c r="B18" t="s">
        <v>21</v>
      </c>
      <c r="C18">
        <v>1254</v>
      </c>
      <c r="D18" s="7">
        <v>1372.653000381998</v>
      </c>
      <c r="E18" s="7">
        <f t="shared" si="0"/>
        <v>118.65300038199803</v>
      </c>
      <c r="F18" s="12">
        <f t="shared" si="1"/>
        <v>9.4619617529504013E-2</v>
      </c>
    </row>
    <row r="19" spans="1:6" x14ac:dyDescent="0.35">
      <c r="A19" t="s">
        <v>27</v>
      </c>
      <c r="B19" t="s">
        <v>22</v>
      </c>
      <c r="C19">
        <v>1530</v>
      </c>
      <c r="D19" s="7">
        <v>1395.467835865993</v>
      </c>
      <c r="E19" s="7">
        <f t="shared" si="0"/>
        <v>-134.53216413400696</v>
      </c>
      <c r="F19" s="12">
        <f t="shared" si="1"/>
        <v>-8.7929519041834617E-2</v>
      </c>
    </row>
    <row r="20" spans="1:6" x14ac:dyDescent="0.35">
      <c r="A20" t="s">
        <v>27</v>
      </c>
      <c r="B20" t="s">
        <v>23</v>
      </c>
      <c r="C20">
        <v>875</v>
      </c>
      <c r="D20" s="7">
        <v>1164.3878175884729</v>
      </c>
      <c r="E20" s="7">
        <f t="shared" si="0"/>
        <v>289.3878175884729</v>
      </c>
      <c r="F20" s="12">
        <f t="shared" si="1"/>
        <v>0.33072893438682616</v>
      </c>
    </row>
    <row r="21" spans="1:6" x14ac:dyDescent="0.35">
      <c r="A21" t="s">
        <v>27</v>
      </c>
      <c r="B21" t="s">
        <v>24</v>
      </c>
      <c r="C21">
        <v>1504</v>
      </c>
      <c r="D21" s="7">
        <v>1526.421847271846</v>
      </c>
      <c r="E21" s="7">
        <f t="shared" si="0"/>
        <v>22.421847271845991</v>
      </c>
      <c r="F21" s="12">
        <f t="shared" si="1"/>
        <v>1.4908143132876323E-2</v>
      </c>
    </row>
    <row r="22" spans="1:6" x14ac:dyDescent="0.35">
      <c r="A22" t="s">
        <v>28</v>
      </c>
      <c r="B22" t="s">
        <v>20</v>
      </c>
      <c r="C22">
        <v>1399</v>
      </c>
      <c r="D22" s="7">
        <v>1272.7952982544191</v>
      </c>
      <c r="E22" s="7">
        <f t="shared" si="0"/>
        <v>-126.20470174558091</v>
      </c>
      <c r="F22" s="12">
        <f t="shared" si="1"/>
        <v>-9.0210651712352333E-2</v>
      </c>
    </row>
    <row r="23" spans="1:6" x14ac:dyDescent="0.35">
      <c r="A23" t="s">
        <v>28</v>
      </c>
      <c r="B23" t="s">
        <v>21</v>
      </c>
      <c r="C23">
        <v>1327</v>
      </c>
      <c r="D23" s="7">
        <v>1413.9531660837561</v>
      </c>
      <c r="E23" s="7">
        <f t="shared" si="0"/>
        <v>86.953166083756059</v>
      </c>
      <c r="F23" s="12">
        <f t="shared" si="1"/>
        <v>6.5526123650155282E-2</v>
      </c>
    </row>
    <row r="24" spans="1:6" x14ac:dyDescent="0.35">
      <c r="A24" t="s">
        <v>28</v>
      </c>
      <c r="B24" t="s">
        <v>22</v>
      </c>
      <c r="C24">
        <v>1507</v>
      </c>
      <c r="D24" s="7">
        <v>1457.82607299346</v>
      </c>
      <c r="E24" s="7">
        <f t="shared" si="0"/>
        <v>-49.173927006539998</v>
      </c>
      <c r="F24" s="12">
        <f t="shared" si="1"/>
        <v>-3.263034307003318E-2</v>
      </c>
    </row>
    <row r="25" spans="1:6" x14ac:dyDescent="0.35">
      <c r="A25" t="s">
        <v>28</v>
      </c>
      <c r="B25" t="s">
        <v>23</v>
      </c>
      <c r="C25">
        <v>1029</v>
      </c>
      <c r="D25" s="7">
        <v>1434.3451579106811</v>
      </c>
      <c r="E25" s="7">
        <f t="shared" si="0"/>
        <v>405.34515791068111</v>
      </c>
      <c r="F25" s="12">
        <f t="shared" si="1"/>
        <v>0.39392143625916531</v>
      </c>
    </row>
    <row r="26" spans="1:6" x14ac:dyDescent="0.35">
      <c r="A26" t="s">
        <v>28</v>
      </c>
      <c r="B26" t="s">
        <v>24</v>
      </c>
      <c r="C26">
        <v>1232</v>
      </c>
      <c r="D26" s="7">
        <v>1197.6691866826779</v>
      </c>
      <c r="E26" s="7">
        <f t="shared" si="0"/>
        <v>-34.330813317322054</v>
      </c>
      <c r="F26" s="12">
        <f t="shared" si="1"/>
        <v>-2.7865919900423745E-2</v>
      </c>
    </row>
    <row r="27" spans="1:6" x14ac:dyDescent="0.35">
      <c r="A27" t="s">
        <v>29</v>
      </c>
      <c r="B27" t="s">
        <v>20</v>
      </c>
      <c r="C27">
        <v>1321</v>
      </c>
      <c r="D27" s="7">
        <v>1273.787571186059</v>
      </c>
      <c r="E27" s="7">
        <f t="shared" si="0"/>
        <v>-47.21242881394096</v>
      </c>
      <c r="F27" s="12">
        <f t="shared" si="1"/>
        <v>-3.5739915831900802E-2</v>
      </c>
    </row>
    <row r="28" spans="1:6" x14ac:dyDescent="0.35">
      <c r="A28" t="s">
        <v>29</v>
      </c>
      <c r="B28" t="s">
        <v>21</v>
      </c>
      <c r="C28">
        <v>1035</v>
      </c>
      <c r="D28" s="7">
        <v>1518.1380602471711</v>
      </c>
      <c r="E28" s="7">
        <f t="shared" si="0"/>
        <v>483.1380602471711</v>
      </c>
      <c r="F28" s="12">
        <f t="shared" si="1"/>
        <v>0.46680005820982717</v>
      </c>
    </row>
    <row r="29" spans="1:6" x14ac:dyDescent="0.35">
      <c r="A29" t="s">
        <v>29</v>
      </c>
      <c r="B29" t="s">
        <v>22</v>
      </c>
      <c r="C29">
        <v>1582</v>
      </c>
      <c r="D29" s="7">
        <v>1942.1681689880311</v>
      </c>
      <c r="E29" s="7">
        <f t="shared" si="0"/>
        <v>360.16816898803108</v>
      </c>
      <c r="F29" s="12">
        <f t="shared" si="1"/>
        <v>0.22766635207840144</v>
      </c>
    </row>
    <row r="30" spans="1:6" x14ac:dyDescent="0.35">
      <c r="A30" t="s">
        <v>29</v>
      </c>
      <c r="B30" t="s">
        <v>23</v>
      </c>
      <c r="C30">
        <v>1004</v>
      </c>
      <c r="D30" s="7">
        <v>1385.047352659949</v>
      </c>
      <c r="E30" s="7">
        <f t="shared" si="0"/>
        <v>381.04735265994896</v>
      </c>
      <c r="F30" s="12">
        <f t="shared" si="1"/>
        <v>0.37952923571708064</v>
      </c>
    </row>
    <row r="31" spans="1:6" x14ac:dyDescent="0.35">
      <c r="A31" t="s">
        <v>29</v>
      </c>
      <c r="B31" t="s">
        <v>24</v>
      </c>
      <c r="C31">
        <v>1670</v>
      </c>
      <c r="D31" s="7">
        <v>1285.442650709211</v>
      </c>
      <c r="E31" s="7">
        <f t="shared" si="0"/>
        <v>-384.55734929078903</v>
      </c>
      <c r="F31" s="12">
        <f t="shared" si="1"/>
        <v>-0.23027386185077187</v>
      </c>
    </row>
    <row r="32" spans="1:6" x14ac:dyDescent="0.35">
      <c r="A32" t="s">
        <v>30</v>
      </c>
      <c r="B32" t="s">
        <v>20</v>
      </c>
      <c r="C32">
        <v>1327</v>
      </c>
      <c r="D32" s="7">
        <v>1271.4486513535919</v>
      </c>
      <c r="E32" s="7">
        <f t="shared" si="0"/>
        <v>-55.551348646408087</v>
      </c>
      <c r="F32" s="12">
        <f t="shared" si="1"/>
        <v>-4.1862357683804134E-2</v>
      </c>
    </row>
    <row r="33" spans="1:6" x14ac:dyDescent="0.35">
      <c r="A33" t="s">
        <v>30</v>
      </c>
      <c r="B33" t="s">
        <v>21</v>
      </c>
      <c r="C33">
        <v>1281</v>
      </c>
      <c r="D33" s="7">
        <v>1487.259123832767</v>
      </c>
      <c r="E33" s="7">
        <f t="shared" si="0"/>
        <v>206.25912383276705</v>
      </c>
      <c r="F33" s="12">
        <f t="shared" si="1"/>
        <v>0.16101414819107498</v>
      </c>
    </row>
    <row r="34" spans="1:6" x14ac:dyDescent="0.35">
      <c r="A34" t="s">
        <v>30</v>
      </c>
      <c r="B34" t="s">
        <v>22</v>
      </c>
      <c r="C34">
        <v>1455</v>
      </c>
      <c r="D34" s="7">
        <v>1704.37510287998</v>
      </c>
      <c r="E34" s="7">
        <f t="shared" ref="E34:E65" si="2">D34-C34</f>
        <v>249.37510287997998</v>
      </c>
      <c r="F34" s="12">
        <f t="shared" si="1"/>
        <v>0.1713918232852096</v>
      </c>
    </row>
    <row r="35" spans="1:6" x14ac:dyDescent="0.35">
      <c r="A35" t="s">
        <v>30</v>
      </c>
      <c r="B35" t="s">
        <v>23</v>
      </c>
      <c r="C35">
        <v>795</v>
      </c>
      <c r="D35" s="7">
        <v>1132.416192420239</v>
      </c>
      <c r="E35" s="7">
        <f t="shared" si="2"/>
        <v>337.41619242023899</v>
      </c>
      <c r="F35" s="12">
        <f t="shared" si="1"/>
        <v>0.42442288354747043</v>
      </c>
    </row>
    <row r="36" spans="1:6" x14ac:dyDescent="0.35">
      <c r="A36" t="s">
        <v>30</v>
      </c>
      <c r="B36" t="s">
        <v>24</v>
      </c>
      <c r="C36">
        <v>1643</v>
      </c>
      <c r="D36" s="7">
        <v>1494.280274572596</v>
      </c>
      <c r="E36" s="7">
        <f t="shared" si="2"/>
        <v>-148.719725427404</v>
      </c>
      <c r="F36" s="12">
        <f t="shared" si="1"/>
        <v>-9.0517179201097989E-2</v>
      </c>
    </row>
    <row r="37" spans="1:6" x14ac:dyDescent="0.35">
      <c r="A37" t="s">
        <v>31</v>
      </c>
      <c r="B37" t="s">
        <v>20</v>
      </c>
      <c r="C37">
        <v>1594</v>
      </c>
      <c r="D37" s="7">
        <v>1195.175828670991</v>
      </c>
      <c r="E37" s="7">
        <f t="shared" si="2"/>
        <v>-398.824171329009</v>
      </c>
      <c r="F37" s="12">
        <f t="shared" si="1"/>
        <v>-0.25020336971706963</v>
      </c>
    </row>
    <row r="38" spans="1:6" x14ac:dyDescent="0.35">
      <c r="A38" t="s">
        <v>31</v>
      </c>
      <c r="B38" t="s">
        <v>21</v>
      </c>
      <c r="C38">
        <v>1405</v>
      </c>
      <c r="D38" s="7">
        <v>1559.0676669907371</v>
      </c>
      <c r="E38" s="7">
        <f t="shared" si="2"/>
        <v>154.06766699073705</v>
      </c>
      <c r="F38" s="12">
        <f t="shared" si="1"/>
        <v>0.10965670248451036</v>
      </c>
    </row>
    <row r="39" spans="1:6" x14ac:dyDescent="0.35">
      <c r="A39" t="s">
        <v>31</v>
      </c>
      <c r="B39" t="s">
        <v>22</v>
      </c>
      <c r="C39">
        <v>1600</v>
      </c>
      <c r="D39" s="7">
        <v>1376.381785796028</v>
      </c>
      <c r="E39" s="7">
        <f t="shared" si="2"/>
        <v>-223.618214203972</v>
      </c>
      <c r="F39" s="12">
        <f t="shared" si="1"/>
        <v>-0.13976138387748249</v>
      </c>
    </row>
    <row r="40" spans="1:6" x14ac:dyDescent="0.35">
      <c r="A40" t="s">
        <v>31</v>
      </c>
      <c r="B40" t="s">
        <v>23</v>
      </c>
      <c r="C40">
        <v>889</v>
      </c>
      <c r="D40" s="7">
        <v>1120.45897801513</v>
      </c>
      <c r="E40" s="7">
        <f t="shared" si="2"/>
        <v>231.45897801513001</v>
      </c>
      <c r="F40" s="12">
        <f t="shared" si="1"/>
        <v>0.26035880541634421</v>
      </c>
    </row>
    <row r="41" spans="1:6" x14ac:dyDescent="0.35">
      <c r="A41" t="s">
        <v>31</v>
      </c>
      <c r="B41" t="s">
        <v>24</v>
      </c>
      <c r="C41">
        <v>1118</v>
      </c>
      <c r="D41" s="7">
        <v>1158.7033816683211</v>
      </c>
      <c r="E41" s="7">
        <f t="shared" si="2"/>
        <v>40.703381668321072</v>
      </c>
      <c r="F41" s="12">
        <f t="shared" si="1"/>
        <v>3.6407318129088616E-2</v>
      </c>
    </row>
    <row r="42" spans="1:6" x14ac:dyDescent="0.35">
      <c r="A42" t="s">
        <v>32</v>
      </c>
      <c r="B42" t="s">
        <v>20</v>
      </c>
      <c r="C42">
        <v>1933</v>
      </c>
      <c r="D42" s="7">
        <v>1617.666837232845</v>
      </c>
      <c r="E42" s="7">
        <f t="shared" si="2"/>
        <v>-315.33316276715505</v>
      </c>
      <c r="F42" s="12">
        <f t="shared" si="1"/>
        <v>-0.16313148617028198</v>
      </c>
    </row>
    <row r="43" spans="1:6" x14ac:dyDescent="0.35">
      <c r="A43" t="s">
        <v>32</v>
      </c>
      <c r="B43" t="s">
        <v>21</v>
      </c>
      <c r="C43">
        <v>1182</v>
      </c>
      <c r="D43" s="7">
        <v>1458.917992276092</v>
      </c>
      <c r="E43" s="7">
        <f t="shared" si="2"/>
        <v>276.91799227609204</v>
      </c>
      <c r="F43" s="12">
        <f t="shared" si="1"/>
        <v>0.23427918128264977</v>
      </c>
    </row>
    <row r="44" spans="1:6" x14ac:dyDescent="0.35">
      <c r="A44" t="s">
        <v>32</v>
      </c>
      <c r="B44" t="s">
        <v>22</v>
      </c>
      <c r="C44">
        <v>1227</v>
      </c>
      <c r="D44" s="7">
        <v>1449.4967792535299</v>
      </c>
      <c r="E44" s="7">
        <f t="shared" si="2"/>
        <v>222.49677925352989</v>
      </c>
      <c r="F44" s="12">
        <f t="shared" si="1"/>
        <v>0.18133396842178476</v>
      </c>
    </row>
    <row r="45" spans="1:6" x14ac:dyDescent="0.35">
      <c r="A45" t="s">
        <v>32</v>
      </c>
      <c r="B45" t="s">
        <v>23</v>
      </c>
      <c r="C45">
        <v>903</v>
      </c>
      <c r="D45" s="7">
        <v>1190.740142454827</v>
      </c>
      <c r="E45" s="7">
        <f t="shared" si="2"/>
        <v>287.74014245482704</v>
      </c>
      <c r="F45" s="12">
        <f t="shared" si="1"/>
        <v>0.31864910570855709</v>
      </c>
    </row>
    <row r="46" spans="1:6" x14ac:dyDescent="0.35">
      <c r="A46" t="s">
        <v>32</v>
      </c>
      <c r="B46" t="s">
        <v>24</v>
      </c>
      <c r="C46">
        <v>1473</v>
      </c>
      <c r="D46" s="7">
        <v>1162.2425530713149</v>
      </c>
      <c r="E46" s="7">
        <f t="shared" si="2"/>
        <v>-310.75744692868511</v>
      </c>
      <c r="F46" s="12">
        <f t="shared" si="1"/>
        <v>-0.21096907462911413</v>
      </c>
    </row>
    <row r="47" spans="1:6" x14ac:dyDescent="0.35">
      <c r="A47" t="s">
        <v>33</v>
      </c>
      <c r="B47" t="s">
        <v>20</v>
      </c>
      <c r="C47">
        <v>1691</v>
      </c>
      <c r="D47" s="7">
        <v>1359.0133360511929</v>
      </c>
      <c r="E47" s="7">
        <f t="shared" si="2"/>
        <v>-331.98666394880706</v>
      </c>
      <c r="F47" s="12">
        <f t="shared" si="1"/>
        <v>-0.19632564396736077</v>
      </c>
    </row>
    <row r="48" spans="1:6" x14ac:dyDescent="0.35">
      <c r="A48" t="s">
        <v>33</v>
      </c>
      <c r="B48" t="s">
        <v>21</v>
      </c>
      <c r="C48">
        <v>986</v>
      </c>
      <c r="D48" s="7">
        <v>1484.7735238091229</v>
      </c>
      <c r="E48" s="7">
        <f t="shared" si="2"/>
        <v>498.77352380912293</v>
      </c>
      <c r="F48" s="12">
        <f t="shared" si="1"/>
        <v>0.50585550082061148</v>
      </c>
    </row>
    <row r="49" spans="1:6" x14ac:dyDescent="0.35">
      <c r="A49" t="s">
        <v>33</v>
      </c>
      <c r="B49" t="s">
        <v>22</v>
      </c>
      <c r="C49">
        <v>1500</v>
      </c>
      <c r="D49" s="7">
        <v>1410.781169140871</v>
      </c>
      <c r="E49" s="7">
        <f t="shared" si="2"/>
        <v>-89.218830859128957</v>
      </c>
      <c r="F49" s="12">
        <f t="shared" si="1"/>
        <v>-5.9479220572752636E-2</v>
      </c>
    </row>
    <row r="50" spans="1:6" x14ac:dyDescent="0.35">
      <c r="A50" t="s">
        <v>33</v>
      </c>
      <c r="B50" t="s">
        <v>23</v>
      </c>
      <c r="C50">
        <v>941</v>
      </c>
      <c r="D50" s="7">
        <v>1152.4363631782001</v>
      </c>
      <c r="E50" s="7">
        <f t="shared" si="2"/>
        <v>211.43636317820005</v>
      </c>
      <c r="F50" s="12">
        <f t="shared" si="1"/>
        <v>0.22469326586418709</v>
      </c>
    </row>
    <row r="51" spans="1:6" x14ac:dyDescent="0.35">
      <c r="A51" t="s">
        <v>33</v>
      </c>
      <c r="B51" t="s">
        <v>24</v>
      </c>
      <c r="C51">
        <v>1810</v>
      </c>
      <c r="D51" s="7">
        <v>1470.08841507703</v>
      </c>
      <c r="E51" s="7">
        <f t="shared" si="2"/>
        <v>-339.91158492296995</v>
      </c>
      <c r="F51" s="12">
        <f t="shared" si="1"/>
        <v>-0.18779645575854692</v>
      </c>
    </row>
    <row r="52" spans="1:6" x14ac:dyDescent="0.35">
      <c r="A52" t="s">
        <v>34</v>
      </c>
      <c r="B52" t="s">
        <v>20</v>
      </c>
      <c r="C52">
        <v>1671</v>
      </c>
      <c r="D52" s="7">
        <v>1411.668023435752</v>
      </c>
      <c r="E52" s="7">
        <f t="shared" si="2"/>
        <v>-259.33197656424795</v>
      </c>
      <c r="F52" s="12">
        <f t="shared" si="1"/>
        <v>-0.15519567717788627</v>
      </c>
    </row>
    <row r="53" spans="1:6" x14ac:dyDescent="0.35">
      <c r="A53" t="s">
        <v>34</v>
      </c>
      <c r="B53" t="s">
        <v>21</v>
      </c>
      <c r="C53">
        <v>1242</v>
      </c>
      <c r="D53" s="7">
        <v>1399.2886033112161</v>
      </c>
      <c r="E53" s="7">
        <f t="shared" si="2"/>
        <v>157.28860331121609</v>
      </c>
      <c r="F53" s="12">
        <f t="shared" si="1"/>
        <v>0.12664138752915949</v>
      </c>
    </row>
    <row r="54" spans="1:6" x14ac:dyDescent="0.35">
      <c r="A54" t="s">
        <v>34</v>
      </c>
      <c r="B54" t="s">
        <v>22</v>
      </c>
      <c r="C54">
        <v>1394</v>
      </c>
      <c r="D54" s="7">
        <v>1237.978427859184</v>
      </c>
      <c r="E54" s="7">
        <f t="shared" si="2"/>
        <v>-156.02157214081603</v>
      </c>
      <c r="F54" s="12">
        <f t="shared" si="1"/>
        <v>-0.11192365289872025</v>
      </c>
    </row>
    <row r="55" spans="1:6" x14ac:dyDescent="0.35">
      <c r="A55" t="s">
        <v>34</v>
      </c>
      <c r="B55" t="s">
        <v>23</v>
      </c>
      <c r="C55">
        <v>905</v>
      </c>
      <c r="D55" s="7">
        <v>1235.5844109374141</v>
      </c>
      <c r="E55" s="7">
        <f t="shared" si="2"/>
        <v>330.58441093741408</v>
      </c>
      <c r="F55" s="12">
        <f t="shared" si="1"/>
        <v>0.36528664191979454</v>
      </c>
    </row>
    <row r="56" spans="1:6" x14ac:dyDescent="0.35">
      <c r="A56" t="s">
        <v>34</v>
      </c>
      <c r="B56" t="s">
        <v>24</v>
      </c>
      <c r="C56">
        <v>1615</v>
      </c>
      <c r="D56" s="7">
        <v>1713.749186667626</v>
      </c>
      <c r="E56" s="7">
        <f t="shared" si="2"/>
        <v>98.749186667625963</v>
      </c>
      <c r="F56" s="12">
        <f t="shared" si="1"/>
        <v>6.1145007224536203E-2</v>
      </c>
    </row>
    <row r="57" spans="1:6" x14ac:dyDescent="0.35">
      <c r="A57" t="s">
        <v>35</v>
      </c>
      <c r="B57" t="s">
        <v>20</v>
      </c>
      <c r="C57">
        <v>1713</v>
      </c>
      <c r="D57" s="7">
        <v>1670.2238025744109</v>
      </c>
      <c r="E57" s="7">
        <f t="shared" si="2"/>
        <v>-42.776197425589089</v>
      </c>
      <c r="F57" s="12">
        <f t="shared" si="1"/>
        <v>-2.4971510464441966E-2</v>
      </c>
    </row>
    <row r="58" spans="1:6" x14ac:dyDescent="0.35">
      <c r="A58" t="s">
        <v>35</v>
      </c>
      <c r="B58" t="s">
        <v>21</v>
      </c>
      <c r="C58">
        <v>1123</v>
      </c>
      <c r="D58" s="7">
        <v>1410.234368000821</v>
      </c>
      <c r="E58" s="7">
        <f t="shared" si="2"/>
        <v>287.23436800082095</v>
      </c>
      <c r="F58" s="12">
        <f t="shared" si="1"/>
        <v>0.25577414781907476</v>
      </c>
    </row>
    <row r="59" spans="1:6" x14ac:dyDescent="0.35">
      <c r="A59" t="s">
        <v>35</v>
      </c>
      <c r="B59" t="s">
        <v>22</v>
      </c>
      <c r="C59">
        <v>1539</v>
      </c>
      <c r="D59" s="7">
        <v>1404.1591570451019</v>
      </c>
      <c r="E59" s="7">
        <f t="shared" si="2"/>
        <v>-134.84084295489811</v>
      </c>
      <c r="F59" s="12">
        <f t="shared" si="1"/>
        <v>-8.761588236185712E-2</v>
      </c>
    </row>
    <row r="60" spans="1:6" x14ac:dyDescent="0.35">
      <c r="A60" t="s">
        <v>35</v>
      </c>
      <c r="B60" t="s">
        <v>23</v>
      </c>
      <c r="C60">
        <v>975</v>
      </c>
      <c r="D60" s="7">
        <v>1467.5323589723571</v>
      </c>
      <c r="E60" s="7">
        <f t="shared" si="2"/>
        <v>492.53235897235709</v>
      </c>
      <c r="F60" s="12">
        <f t="shared" si="1"/>
        <v>0.50516139381780212</v>
      </c>
    </row>
    <row r="61" spans="1:6" x14ac:dyDescent="0.35">
      <c r="A61" t="s">
        <v>35</v>
      </c>
      <c r="B61" t="s">
        <v>24</v>
      </c>
      <c r="C61">
        <v>1979</v>
      </c>
      <c r="D61" s="7">
        <v>1496.073306332039</v>
      </c>
      <c r="E61" s="7">
        <f t="shared" si="2"/>
        <v>-482.92669366796099</v>
      </c>
      <c r="F61" s="12">
        <f t="shared" si="1"/>
        <v>-0.24402561579987922</v>
      </c>
    </row>
    <row r="62" spans="1:6" x14ac:dyDescent="0.35">
      <c r="A62" t="s">
        <v>36</v>
      </c>
      <c r="B62" t="s">
        <v>20</v>
      </c>
      <c r="C62">
        <v>1757</v>
      </c>
      <c r="D62" s="7">
        <v>1850.039633382208</v>
      </c>
      <c r="E62" s="7">
        <f t="shared" si="2"/>
        <v>93.039633382207967</v>
      </c>
      <c r="F62" s="12">
        <f t="shared" si="1"/>
        <v>5.2953690029714263E-2</v>
      </c>
    </row>
    <row r="63" spans="1:6" x14ac:dyDescent="0.35">
      <c r="A63" t="s">
        <v>36</v>
      </c>
      <c r="B63" t="s">
        <v>21</v>
      </c>
      <c r="C63">
        <v>1125</v>
      </c>
      <c r="D63" s="7">
        <v>1428.6024170401411</v>
      </c>
      <c r="E63" s="7">
        <f t="shared" si="2"/>
        <v>303.60241704014106</v>
      </c>
      <c r="F63" s="12">
        <f t="shared" si="1"/>
        <v>0.26986881514679206</v>
      </c>
    </row>
    <row r="64" spans="1:6" x14ac:dyDescent="0.35">
      <c r="A64" t="s">
        <v>36</v>
      </c>
      <c r="B64" t="s">
        <v>22</v>
      </c>
      <c r="C64">
        <v>1763</v>
      </c>
      <c r="D64" s="7">
        <v>1803.0519514317571</v>
      </c>
      <c r="E64" s="7">
        <f t="shared" si="2"/>
        <v>40.051951431757061</v>
      </c>
      <c r="F64" s="12">
        <f t="shared" si="1"/>
        <v>2.2718066609051082E-2</v>
      </c>
    </row>
    <row r="65" spans="1:6" x14ac:dyDescent="0.35">
      <c r="A65" t="s">
        <v>36</v>
      </c>
      <c r="B65" t="s">
        <v>23</v>
      </c>
      <c r="C65">
        <v>911</v>
      </c>
      <c r="D65" s="7">
        <v>1199.206654167047</v>
      </c>
      <c r="E65" s="7">
        <f t="shared" si="2"/>
        <v>288.20665416704696</v>
      </c>
      <c r="F65" s="12">
        <f t="shared" si="1"/>
        <v>0.31636295737326781</v>
      </c>
    </row>
    <row r="66" spans="1:6" x14ac:dyDescent="0.35">
      <c r="A66" t="s">
        <v>36</v>
      </c>
      <c r="B66" t="s">
        <v>24</v>
      </c>
      <c r="C66">
        <v>1677</v>
      </c>
      <c r="D66" s="7">
        <v>1167.3965858623069</v>
      </c>
      <c r="E66" s="7">
        <f t="shared" ref="E66:E97" si="3">D66-C66</f>
        <v>-509.60341413769311</v>
      </c>
      <c r="F66" s="12">
        <f t="shared" si="1"/>
        <v>-0.30387800485253019</v>
      </c>
    </row>
    <row r="67" spans="1:6" x14ac:dyDescent="0.35">
      <c r="A67" t="s">
        <v>37</v>
      </c>
      <c r="B67" t="s">
        <v>20</v>
      </c>
      <c r="C67">
        <v>1723</v>
      </c>
      <c r="D67" s="7">
        <v>1387.192150028184</v>
      </c>
      <c r="E67" s="7">
        <f t="shared" si="3"/>
        <v>-335.80784997181604</v>
      </c>
      <c r="F67" s="12">
        <f t="shared" si="1"/>
        <v>-0.19489718512583634</v>
      </c>
    </row>
    <row r="68" spans="1:6" x14ac:dyDescent="0.35">
      <c r="A68" t="s">
        <v>37</v>
      </c>
      <c r="B68" t="s">
        <v>21</v>
      </c>
      <c r="C68">
        <v>1345</v>
      </c>
      <c r="D68" s="7">
        <v>1550.3878951701131</v>
      </c>
      <c r="E68" s="7">
        <f t="shared" si="3"/>
        <v>205.3878951701131</v>
      </c>
      <c r="F68" s="12">
        <f t="shared" ref="F68:F101" si="4">(D68-C68)/C68</f>
        <v>0.1527047547733183</v>
      </c>
    </row>
    <row r="69" spans="1:6" x14ac:dyDescent="0.35">
      <c r="A69" t="s">
        <v>37</v>
      </c>
      <c r="B69" t="s">
        <v>22</v>
      </c>
      <c r="C69">
        <v>1882</v>
      </c>
      <c r="D69" s="7">
        <v>1505.9639459478319</v>
      </c>
      <c r="E69" s="7">
        <f t="shared" si="3"/>
        <v>-376.03605405216808</v>
      </c>
      <c r="F69" s="12">
        <f t="shared" si="4"/>
        <v>-0.1998066174559873</v>
      </c>
    </row>
    <row r="70" spans="1:6" x14ac:dyDescent="0.35">
      <c r="A70" t="s">
        <v>37</v>
      </c>
      <c r="B70" t="s">
        <v>23</v>
      </c>
      <c r="C70">
        <v>1028</v>
      </c>
      <c r="D70" s="7">
        <v>1186.6428089005881</v>
      </c>
      <c r="E70" s="7">
        <f t="shared" si="3"/>
        <v>158.64280890058808</v>
      </c>
      <c r="F70" s="12">
        <f t="shared" si="4"/>
        <v>0.15432179854142808</v>
      </c>
    </row>
    <row r="71" spans="1:6" x14ac:dyDescent="0.35">
      <c r="A71" t="s">
        <v>37</v>
      </c>
      <c r="B71" t="s">
        <v>24</v>
      </c>
      <c r="C71">
        <v>1735</v>
      </c>
      <c r="D71" s="7">
        <v>1250.688353693296</v>
      </c>
      <c r="E71" s="7">
        <f t="shared" si="3"/>
        <v>-484.31164630670401</v>
      </c>
      <c r="F71" s="12">
        <f t="shared" si="4"/>
        <v>-0.27914215925458447</v>
      </c>
    </row>
    <row r="72" spans="1:6" x14ac:dyDescent="0.35">
      <c r="A72" t="s">
        <v>38</v>
      </c>
      <c r="B72" t="s">
        <v>20</v>
      </c>
      <c r="C72">
        <v>1547</v>
      </c>
      <c r="D72" s="7">
        <v>1456.2560069159381</v>
      </c>
      <c r="E72" s="7">
        <f t="shared" si="3"/>
        <v>-90.743993084061913</v>
      </c>
      <c r="F72" s="12">
        <f t="shared" si="4"/>
        <v>-5.8658043363970208E-2</v>
      </c>
    </row>
    <row r="73" spans="1:6" x14ac:dyDescent="0.35">
      <c r="A73" t="s">
        <v>38</v>
      </c>
      <c r="B73" t="s">
        <v>21</v>
      </c>
      <c r="C73">
        <v>1232</v>
      </c>
      <c r="D73" s="7">
        <v>1405.251168085558</v>
      </c>
      <c r="E73" s="7">
        <f t="shared" si="3"/>
        <v>173.25116808555799</v>
      </c>
      <c r="F73" s="12">
        <f t="shared" si="4"/>
        <v>0.14062594812139448</v>
      </c>
    </row>
    <row r="74" spans="1:6" x14ac:dyDescent="0.35">
      <c r="A74" t="s">
        <v>38</v>
      </c>
      <c r="B74" t="s">
        <v>22</v>
      </c>
      <c r="C74">
        <v>1759</v>
      </c>
      <c r="D74" s="7">
        <v>1456.010935552637</v>
      </c>
      <c r="E74" s="7">
        <f t="shared" si="3"/>
        <v>-302.98906444736303</v>
      </c>
      <c r="F74" s="12">
        <f t="shared" si="4"/>
        <v>-0.17225074726967768</v>
      </c>
    </row>
    <row r="75" spans="1:6" x14ac:dyDescent="0.35">
      <c r="A75" t="s">
        <v>38</v>
      </c>
      <c r="B75" t="s">
        <v>23</v>
      </c>
      <c r="C75">
        <v>795</v>
      </c>
      <c r="D75" s="7">
        <v>992.153382496326</v>
      </c>
      <c r="E75" s="7">
        <f t="shared" si="3"/>
        <v>197.153382496326</v>
      </c>
      <c r="F75" s="12">
        <f t="shared" si="4"/>
        <v>0.24799167609600756</v>
      </c>
    </row>
    <row r="76" spans="1:6" x14ac:dyDescent="0.35">
      <c r="A76" t="s">
        <v>38</v>
      </c>
      <c r="B76" t="s">
        <v>24</v>
      </c>
      <c r="C76">
        <v>1535</v>
      </c>
      <c r="D76" s="7">
        <v>1200.3874579743081</v>
      </c>
      <c r="E76" s="7">
        <f t="shared" si="3"/>
        <v>-334.61254202569194</v>
      </c>
      <c r="F76" s="12">
        <f t="shared" si="4"/>
        <v>-0.21798862672683514</v>
      </c>
    </row>
    <row r="77" spans="1:6" x14ac:dyDescent="0.35">
      <c r="A77" t="s">
        <v>39</v>
      </c>
      <c r="B77" t="s">
        <v>20</v>
      </c>
      <c r="C77">
        <v>1670</v>
      </c>
      <c r="D77" s="7">
        <v>1380.139435775284</v>
      </c>
      <c r="E77" s="7">
        <f t="shared" si="3"/>
        <v>-289.86056422471597</v>
      </c>
      <c r="F77" s="12">
        <f t="shared" si="4"/>
        <v>-0.17356920013456045</v>
      </c>
    </row>
    <row r="78" spans="1:6" x14ac:dyDescent="0.35">
      <c r="A78" t="s">
        <v>39</v>
      </c>
      <c r="B78" t="s">
        <v>21</v>
      </c>
      <c r="C78">
        <v>1463</v>
      </c>
      <c r="D78" s="7">
        <v>1860.2691564763411</v>
      </c>
      <c r="E78" s="7">
        <f t="shared" si="3"/>
        <v>397.2691564763411</v>
      </c>
      <c r="F78" s="12">
        <f t="shared" si="4"/>
        <v>0.2715441944472598</v>
      </c>
    </row>
    <row r="79" spans="1:6" x14ac:dyDescent="0.35">
      <c r="A79" t="s">
        <v>39</v>
      </c>
      <c r="B79" t="s">
        <v>22</v>
      </c>
      <c r="C79">
        <v>1535</v>
      </c>
      <c r="D79" s="7">
        <v>1474.9876753275739</v>
      </c>
      <c r="E79" s="7">
        <f t="shared" si="3"/>
        <v>-60.012324672426075</v>
      </c>
      <c r="F79" s="12">
        <f t="shared" si="4"/>
        <v>-3.9095976985293858E-2</v>
      </c>
    </row>
    <row r="80" spans="1:6" x14ac:dyDescent="0.35">
      <c r="A80" t="s">
        <v>39</v>
      </c>
      <c r="B80" t="s">
        <v>23</v>
      </c>
      <c r="C80">
        <v>868</v>
      </c>
      <c r="D80" s="7">
        <v>990.44970800996157</v>
      </c>
      <c r="E80" s="7">
        <f t="shared" si="3"/>
        <v>122.44970800996157</v>
      </c>
      <c r="F80" s="12">
        <f t="shared" si="4"/>
        <v>0.14107109217737507</v>
      </c>
    </row>
    <row r="81" spans="1:6" x14ac:dyDescent="0.35">
      <c r="A81" t="s">
        <v>39</v>
      </c>
      <c r="B81" t="s">
        <v>24</v>
      </c>
      <c r="C81">
        <v>1478</v>
      </c>
      <c r="D81" s="7">
        <v>1064.880930904154</v>
      </c>
      <c r="E81" s="7">
        <f t="shared" si="3"/>
        <v>-413.11906909584604</v>
      </c>
      <c r="F81" s="12">
        <f t="shared" si="4"/>
        <v>-0.27951222536931397</v>
      </c>
    </row>
    <row r="82" spans="1:6" x14ac:dyDescent="0.35">
      <c r="A82" t="s">
        <v>40</v>
      </c>
      <c r="B82" t="s">
        <v>20</v>
      </c>
      <c r="C82">
        <v>1398</v>
      </c>
      <c r="D82" s="7">
        <v>1555.2861001162739</v>
      </c>
      <c r="E82" s="7">
        <f t="shared" si="3"/>
        <v>157.28610011627393</v>
      </c>
      <c r="F82" s="12">
        <f t="shared" si="4"/>
        <v>0.11250793999733472</v>
      </c>
    </row>
    <row r="83" spans="1:6" x14ac:dyDescent="0.35">
      <c r="A83" t="s">
        <v>40</v>
      </c>
      <c r="B83" t="s">
        <v>21</v>
      </c>
      <c r="C83">
        <v>1286</v>
      </c>
      <c r="D83" s="7">
        <v>1521.018683448091</v>
      </c>
      <c r="E83" s="7">
        <f t="shared" si="3"/>
        <v>235.018683448091</v>
      </c>
      <c r="F83" s="12">
        <f t="shared" si="4"/>
        <v>0.18275169786010187</v>
      </c>
    </row>
    <row r="84" spans="1:6" x14ac:dyDescent="0.35">
      <c r="A84" t="s">
        <v>40</v>
      </c>
      <c r="B84" t="s">
        <v>22</v>
      </c>
      <c r="C84">
        <v>1577</v>
      </c>
      <c r="D84" s="7">
        <v>1471.4528848718171</v>
      </c>
      <c r="E84" s="7">
        <f t="shared" si="3"/>
        <v>-105.5471151281829</v>
      </c>
      <c r="F84" s="12">
        <f t="shared" si="4"/>
        <v>-6.692905207874629E-2</v>
      </c>
    </row>
    <row r="85" spans="1:6" x14ac:dyDescent="0.35">
      <c r="A85" t="s">
        <v>40</v>
      </c>
      <c r="B85" t="s">
        <v>23</v>
      </c>
      <c r="C85">
        <v>959</v>
      </c>
      <c r="D85" s="7">
        <v>1177.3287618717479</v>
      </c>
      <c r="E85" s="7">
        <f t="shared" si="3"/>
        <v>218.32876187174793</v>
      </c>
      <c r="F85" s="12">
        <f t="shared" si="4"/>
        <v>0.22766294251485708</v>
      </c>
    </row>
    <row r="86" spans="1:6" x14ac:dyDescent="0.35">
      <c r="A86" t="s">
        <v>40</v>
      </c>
      <c r="B86" t="s">
        <v>24</v>
      </c>
      <c r="C86">
        <v>1658</v>
      </c>
      <c r="D86" s="7">
        <v>1158.561671459272</v>
      </c>
      <c r="E86" s="7">
        <f t="shared" si="3"/>
        <v>-499.43832854072798</v>
      </c>
      <c r="F86" s="12">
        <f t="shared" si="4"/>
        <v>-0.30122938995218818</v>
      </c>
    </row>
    <row r="87" spans="1:6" x14ac:dyDescent="0.35">
      <c r="A87" t="s">
        <v>41</v>
      </c>
      <c r="B87" t="s">
        <v>20</v>
      </c>
      <c r="C87">
        <v>1560</v>
      </c>
      <c r="D87" s="7">
        <v>1391.2701521959571</v>
      </c>
      <c r="E87" s="7">
        <f t="shared" si="3"/>
        <v>-168.72984780404295</v>
      </c>
      <c r="F87" s="12">
        <f t="shared" si="4"/>
        <v>-0.10816015884874548</v>
      </c>
    </row>
    <row r="88" spans="1:6" x14ac:dyDescent="0.35">
      <c r="A88" t="s">
        <v>41</v>
      </c>
      <c r="B88" t="s">
        <v>21</v>
      </c>
      <c r="C88">
        <v>1192</v>
      </c>
      <c r="D88" s="7">
        <v>1411.143654846536</v>
      </c>
      <c r="E88" s="7">
        <f t="shared" si="3"/>
        <v>219.14365484653604</v>
      </c>
      <c r="F88" s="12">
        <f t="shared" si="4"/>
        <v>0.18384534802561747</v>
      </c>
    </row>
    <row r="89" spans="1:6" x14ac:dyDescent="0.35">
      <c r="A89" t="s">
        <v>41</v>
      </c>
      <c r="B89" t="s">
        <v>22</v>
      </c>
      <c r="C89">
        <v>1764</v>
      </c>
      <c r="D89" s="7">
        <v>1493.9393157438769</v>
      </c>
      <c r="E89" s="7">
        <f t="shared" si="3"/>
        <v>-270.06068425612307</v>
      </c>
      <c r="F89" s="12">
        <f t="shared" si="4"/>
        <v>-0.15309562599553461</v>
      </c>
    </row>
    <row r="90" spans="1:6" x14ac:dyDescent="0.35">
      <c r="A90" t="s">
        <v>41</v>
      </c>
      <c r="B90" t="s">
        <v>23</v>
      </c>
      <c r="C90">
        <v>779</v>
      </c>
      <c r="D90" s="7">
        <v>1217.7663886183991</v>
      </c>
      <c r="E90" s="7">
        <f t="shared" si="3"/>
        <v>438.76638861839911</v>
      </c>
      <c r="F90" s="12">
        <f t="shared" si="4"/>
        <v>0.56324311761026846</v>
      </c>
    </row>
    <row r="91" spans="1:6" x14ac:dyDescent="0.35">
      <c r="A91" t="s">
        <v>41</v>
      </c>
      <c r="B91" t="s">
        <v>24</v>
      </c>
      <c r="C91">
        <v>1613</v>
      </c>
      <c r="D91" s="7">
        <v>1236.484631067271</v>
      </c>
      <c r="E91" s="7">
        <f t="shared" si="3"/>
        <v>-376.51536893272896</v>
      </c>
      <c r="F91" s="12">
        <f t="shared" si="4"/>
        <v>-0.23342552320689955</v>
      </c>
    </row>
    <row r="92" spans="1:6" x14ac:dyDescent="0.35">
      <c r="A92" t="s">
        <v>42</v>
      </c>
      <c r="B92" t="s">
        <v>20</v>
      </c>
      <c r="C92">
        <v>1678</v>
      </c>
      <c r="D92" s="7">
        <v>1311.7766176223211</v>
      </c>
      <c r="E92" s="7">
        <f t="shared" si="3"/>
        <v>-366.22338237767894</v>
      </c>
      <c r="F92" s="12">
        <f t="shared" si="4"/>
        <v>-0.21824992990326517</v>
      </c>
    </row>
    <row r="93" spans="1:6" x14ac:dyDescent="0.35">
      <c r="A93" t="s">
        <v>42</v>
      </c>
      <c r="B93" t="s">
        <v>21</v>
      </c>
      <c r="C93">
        <v>1252</v>
      </c>
      <c r="D93" s="7">
        <v>1557.0922837439221</v>
      </c>
      <c r="E93" s="7">
        <f t="shared" si="3"/>
        <v>305.09228374392205</v>
      </c>
      <c r="F93" s="12">
        <f t="shared" si="4"/>
        <v>0.24368393270281313</v>
      </c>
    </row>
    <row r="94" spans="1:6" x14ac:dyDescent="0.35">
      <c r="A94" t="s">
        <v>42</v>
      </c>
      <c r="B94" t="s">
        <v>22</v>
      </c>
      <c r="C94">
        <v>1615</v>
      </c>
      <c r="D94" s="7">
        <v>1513.1450608815351</v>
      </c>
      <c r="E94" s="7">
        <f t="shared" si="3"/>
        <v>-101.85493911846493</v>
      </c>
      <c r="F94" s="12">
        <f t="shared" si="4"/>
        <v>-6.3068073757563417E-2</v>
      </c>
    </row>
    <row r="95" spans="1:6" x14ac:dyDescent="0.35">
      <c r="A95" t="s">
        <v>42</v>
      </c>
      <c r="B95" t="s">
        <v>23</v>
      </c>
      <c r="C95">
        <v>930</v>
      </c>
      <c r="D95" s="7">
        <v>1248.2073205748491</v>
      </c>
      <c r="E95" s="7">
        <f t="shared" si="3"/>
        <v>318.20732057484906</v>
      </c>
      <c r="F95" s="12">
        <f t="shared" si="4"/>
        <v>0.3421584092202678</v>
      </c>
    </row>
    <row r="96" spans="1:6" x14ac:dyDescent="0.35">
      <c r="A96" t="s">
        <v>42</v>
      </c>
      <c r="B96" t="s">
        <v>24</v>
      </c>
      <c r="C96">
        <v>1616</v>
      </c>
      <c r="D96" s="7">
        <v>1110.109269077984</v>
      </c>
      <c r="E96" s="7">
        <f t="shared" si="3"/>
        <v>-505.89073092201602</v>
      </c>
      <c r="F96" s="12">
        <f t="shared" si="4"/>
        <v>-0.31305119487748517</v>
      </c>
    </row>
    <row r="97" spans="1:6" x14ac:dyDescent="0.35">
      <c r="A97" t="s">
        <v>43</v>
      </c>
      <c r="B97" t="s">
        <v>20</v>
      </c>
      <c r="C97">
        <v>2360</v>
      </c>
      <c r="D97" s="7">
        <v>1854.5903504937651</v>
      </c>
      <c r="E97" s="7">
        <f t="shared" si="3"/>
        <v>-505.40964950623493</v>
      </c>
      <c r="F97" s="12">
        <f t="shared" si="4"/>
        <v>-0.21415663114670971</v>
      </c>
    </row>
    <row r="98" spans="1:6" x14ac:dyDescent="0.35">
      <c r="A98" t="s">
        <v>43</v>
      </c>
      <c r="B98" t="s">
        <v>21</v>
      </c>
      <c r="C98">
        <v>1383</v>
      </c>
      <c r="D98" s="7">
        <v>1561.5349805327701</v>
      </c>
      <c r="E98" s="7">
        <f t="shared" ref="E98:E101" si="5">D98-C98</f>
        <v>178.53498053277008</v>
      </c>
      <c r="F98" s="12">
        <f t="shared" si="4"/>
        <v>0.12909253834618226</v>
      </c>
    </row>
    <row r="99" spans="1:6" x14ac:dyDescent="0.35">
      <c r="A99" t="s">
        <v>43</v>
      </c>
      <c r="B99" t="s">
        <v>22</v>
      </c>
      <c r="C99">
        <v>1802</v>
      </c>
      <c r="D99" s="7">
        <v>1580.3079499955761</v>
      </c>
      <c r="E99" s="7">
        <f t="shared" si="5"/>
        <v>-221.69205000442389</v>
      </c>
      <c r="F99" s="12">
        <f t="shared" si="4"/>
        <v>-0.12302555494141171</v>
      </c>
    </row>
    <row r="100" spans="1:6" x14ac:dyDescent="0.35">
      <c r="A100" t="s">
        <v>43</v>
      </c>
      <c r="B100" t="s">
        <v>23</v>
      </c>
      <c r="C100">
        <v>934</v>
      </c>
      <c r="D100" s="7">
        <v>1154.7687360497059</v>
      </c>
      <c r="E100" s="7">
        <f t="shared" si="5"/>
        <v>220.76873604970592</v>
      </c>
      <c r="F100" s="12">
        <f t="shared" si="4"/>
        <v>0.23636909641296136</v>
      </c>
    </row>
    <row r="101" spans="1:6" x14ac:dyDescent="0.35">
      <c r="A101" t="s">
        <v>43</v>
      </c>
      <c r="B101" t="s">
        <v>24</v>
      </c>
      <c r="C101">
        <v>2066</v>
      </c>
      <c r="D101" s="7">
        <v>1342.394487245361</v>
      </c>
      <c r="E101" s="7">
        <f t="shared" si="5"/>
        <v>-723.60551275463899</v>
      </c>
      <c r="F101" s="12">
        <f t="shared" si="4"/>
        <v>-0.35024468187543029</v>
      </c>
    </row>
    <row r="103" spans="1:6" x14ac:dyDescent="0.35">
      <c r="A103" s="3" t="s">
        <v>44</v>
      </c>
    </row>
    <row r="104" spans="1:6" x14ac:dyDescent="0.35">
      <c r="A104" t="s">
        <v>45</v>
      </c>
      <c r="B104" s="7" t="e">
        <f>AVERAGE(ABS(E2:E102))</f>
        <v>#VALUE!</v>
      </c>
    </row>
    <row r="105" spans="1:6" x14ac:dyDescent="0.35">
      <c r="A105" t="s">
        <v>46</v>
      </c>
      <c r="B105" s="7">
        <f>SQRT(SUMPRODUCT(E2:E102,E2:E102)/100)</f>
        <v>303.72032578375763</v>
      </c>
    </row>
    <row r="106" spans="1:6" x14ac:dyDescent="0.35">
      <c r="A106" t="s">
        <v>47</v>
      </c>
      <c r="B106" s="8" t="e">
        <f>AVERAGE(ABS(F2:F102))</f>
        <v>#VALUE!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>
      <selection activeCell="C2" sqref="C2"/>
    </sheetView>
  </sheetViews>
  <sheetFormatPr defaultRowHeight="14.5" x14ac:dyDescent="0.35"/>
  <cols>
    <col min="1" max="1" width="30" customWidth="1"/>
    <col min="2" max="2" width="15" customWidth="1"/>
    <col min="3" max="3" width="25" customWidth="1"/>
  </cols>
  <sheetData>
    <row r="1" spans="1:3" ht="15.5" x14ac:dyDescent="0.35">
      <c r="A1" s="9" t="s">
        <v>48</v>
      </c>
      <c r="B1" s="9" t="s">
        <v>49</v>
      </c>
      <c r="C1" s="9" t="s">
        <v>50</v>
      </c>
    </row>
    <row r="2" spans="1:3" x14ac:dyDescent="0.35">
      <c r="A2" t="s">
        <v>51</v>
      </c>
      <c r="B2" s="7">
        <v>-3.513943369015176</v>
      </c>
      <c r="C2" t="s">
        <v>52</v>
      </c>
    </row>
    <row r="3" spans="1:3" x14ac:dyDescent="0.35">
      <c r="A3" t="s">
        <v>53</v>
      </c>
      <c r="B3" s="7">
        <v>-0.7816694324070721</v>
      </c>
      <c r="C3" t="s">
        <v>52</v>
      </c>
    </row>
    <row r="4" spans="1:3" x14ac:dyDescent="0.35">
      <c r="A4" t="s">
        <v>54</v>
      </c>
      <c r="B4" s="7">
        <v>4.6373199743605333</v>
      </c>
      <c r="C4" t="s">
        <v>55</v>
      </c>
    </row>
    <row r="5" spans="1:3" x14ac:dyDescent="0.35">
      <c r="A5" t="s">
        <v>56</v>
      </c>
      <c r="B5" s="7">
        <v>2.3946476157679902E-2</v>
      </c>
      <c r="C5" t="s">
        <v>55</v>
      </c>
    </row>
    <row r="6" spans="1:3" x14ac:dyDescent="0.35">
      <c r="A6" t="s">
        <v>57</v>
      </c>
      <c r="B6" s="7">
        <v>15.657924439629779</v>
      </c>
      <c r="C6" t="s">
        <v>55</v>
      </c>
    </row>
    <row r="7" spans="1:3" x14ac:dyDescent="0.35">
      <c r="A7" t="s">
        <v>58</v>
      </c>
      <c r="B7" s="7">
        <v>-107.2589195650299</v>
      </c>
      <c r="C7" t="s">
        <v>52</v>
      </c>
    </row>
    <row r="8" spans="1:3" x14ac:dyDescent="0.35">
      <c r="A8" t="s">
        <v>59</v>
      </c>
      <c r="B8" s="7">
        <v>392.07968188153251</v>
      </c>
      <c r="C8" t="s">
        <v>55</v>
      </c>
    </row>
    <row r="9" spans="1:3" x14ac:dyDescent="0.35">
      <c r="A9" t="s">
        <v>60</v>
      </c>
      <c r="B9" s="7">
        <v>985.93433194842203</v>
      </c>
      <c r="C9" t="s">
        <v>55</v>
      </c>
    </row>
    <row r="10" spans="1:3" x14ac:dyDescent="0.35">
      <c r="A10" t="s">
        <v>61</v>
      </c>
      <c r="B10" s="7">
        <v>1435.651145131766</v>
      </c>
      <c r="C10" t="s">
        <v>55</v>
      </c>
    </row>
    <row r="11" spans="1:3" x14ac:dyDescent="0.35">
      <c r="A11" t="s">
        <v>62</v>
      </c>
      <c r="B11" s="7">
        <v>-1711.1476807631229</v>
      </c>
      <c r="C11" t="s">
        <v>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G19" sqref="G19"/>
    </sheetView>
  </sheetViews>
  <sheetFormatPr defaultRowHeight="14.5" x14ac:dyDescent="0.35"/>
  <cols>
    <col min="1" max="1" width="30" customWidth="1"/>
    <col min="2" max="3" width="20" customWidth="1"/>
  </cols>
  <sheetData>
    <row r="1" spans="1:3" ht="15.5" x14ac:dyDescent="0.35">
      <c r="A1" s="9" t="s">
        <v>63</v>
      </c>
      <c r="B1" s="9" t="s">
        <v>16</v>
      </c>
      <c r="C1" s="9" t="s">
        <v>64</v>
      </c>
    </row>
    <row r="2" spans="1:3" x14ac:dyDescent="0.35">
      <c r="A2" t="s">
        <v>65</v>
      </c>
      <c r="B2" s="7">
        <v>1492.895593948411</v>
      </c>
      <c r="C2" s="12">
        <v>0</v>
      </c>
    </row>
    <row r="3" spans="1:3" x14ac:dyDescent="0.35">
      <c r="A3" t="s">
        <v>66</v>
      </c>
      <c r="B3" s="7">
        <v>1523.1155069219419</v>
      </c>
      <c r="C3" s="12">
        <v>2.0242482525924799E-2</v>
      </c>
    </row>
    <row r="4" spans="1:3" x14ac:dyDescent="0.35">
      <c r="A4" t="s">
        <v>67</v>
      </c>
      <c r="B4" s="7">
        <v>1542.768393019536</v>
      </c>
      <c r="C4" s="12">
        <v>3.3406756154475199E-2</v>
      </c>
    </row>
    <row r="5" spans="1:3" x14ac:dyDescent="0.35">
      <c r="A5" t="s">
        <v>68</v>
      </c>
      <c r="B5" s="7">
        <v>1884.9752758299439</v>
      </c>
      <c r="C5" s="12">
        <v>0.26263034298638399</v>
      </c>
    </row>
    <row r="7" spans="1:3" x14ac:dyDescent="0.35">
      <c r="A7" s="10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"/>
  <sheetViews>
    <sheetView tabSelected="1" workbookViewId="0">
      <selection activeCell="B12" sqref="B12"/>
    </sheetView>
  </sheetViews>
  <sheetFormatPr defaultRowHeight="14.5" x14ac:dyDescent="0.35"/>
  <cols>
    <col min="1" max="2" width="30" customWidth="1"/>
    <col min="3" max="3" width="15" customWidth="1"/>
  </cols>
  <sheetData>
    <row r="1" spans="1:3" ht="18.5" x14ac:dyDescent="0.45">
      <c r="A1" s="16" t="s">
        <v>69</v>
      </c>
      <c r="B1" s="15"/>
      <c r="C1" s="15"/>
    </row>
    <row r="3" spans="1:3" ht="15.5" x14ac:dyDescent="0.35">
      <c r="A3" s="9" t="s">
        <v>70</v>
      </c>
      <c r="B3" s="9" t="s">
        <v>71</v>
      </c>
      <c r="C3" s="9" t="s">
        <v>72</v>
      </c>
    </row>
    <row r="4" spans="1:3" x14ac:dyDescent="0.35">
      <c r="A4" t="s">
        <v>73</v>
      </c>
      <c r="B4">
        <v>0</v>
      </c>
      <c r="C4" s="11" t="s">
        <v>74</v>
      </c>
    </row>
    <row r="5" spans="1:3" x14ac:dyDescent="0.35">
      <c r="A5" t="s">
        <v>75</v>
      </c>
      <c r="B5">
        <v>0</v>
      </c>
      <c r="C5" s="11" t="s">
        <v>74</v>
      </c>
    </row>
    <row r="6" spans="1:3" x14ac:dyDescent="0.35">
      <c r="A6" t="s">
        <v>76</v>
      </c>
      <c r="B6">
        <v>0</v>
      </c>
      <c r="C6" s="11" t="s">
        <v>74</v>
      </c>
    </row>
    <row r="7" spans="1:3" x14ac:dyDescent="0.35">
      <c r="A7" t="s">
        <v>77</v>
      </c>
      <c r="B7" t="s">
        <v>78</v>
      </c>
      <c r="C7" s="11" t="s">
        <v>74</v>
      </c>
    </row>
    <row r="8" spans="1:3" x14ac:dyDescent="0.35">
      <c r="A8" t="s">
        <v>79</v>
      </c>
      <c r="B8">
        <v>525</v>
      </c>
      <c r="C8" s="11" t="s">
        <v>74</v>
      </c>
    </row>
    <row r="9" spans="1:3" x14ac:dyDescent="0.35">
      <c r="A9" t="s">
        <v>80</v>
      </c>
      <c r="B9" s="13">
        <v>0.38500000000000001</v>
      </c>
      <c r="C9" s="11" t="s">
        <v>74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 Dashboard</vt:lpstr>
      <vt:lpstr>Predictions vs Actuals</vt:lpstr>
      <vt:lpstr>Model Coefficients</vt:lpstr>
      <vt:lpstr>Scenario Analysis</vt:lpstr>
      <vt:lpstr>Validation 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Shaveen Prasad</cp:lastModifiedBy>
  <dcterms:created xsi:type="dcterms:W3CDTF">2026-02-08T07:36:23Z</dcterms:created>
  <dcterms:modified xsi:type="dcterms:W3CDTF">2026-02-10T01:17:38Z</dcterms:modified>
</cp:coreProperties>
</file>